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tthewinglis/Desktop/PME Workshop/Meta-Analysis Workshop (20 March)-20260430/"/>
    </mc:Choice>
  </mc:AlternateContent>
  <xr:revisionPtr revIDLastSave="0" documentId="8_{FB7A5972-5A41-DD41-AFBA-09D25DF47CB6}" xr6:coauthVersionLast="47" xr6:coauthVersionMax="47" xr10:uidLastSave="{00000000-0000-0000-0000-000000000000}"/>
  <bookViews>
    <workbookView xWindow="26200" yWindow="600" windowWidth="25000" windowHeight="28200" tabRatio="500" xr2:uid="{00000000-000D-0000-FFFF-FFFF00000000}"/>
  </bookViews>
  <sheets>
    <sheet name="EffectSize_M_SD_Between_Subject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" i="4" l="1"/>
  <c r="K3" i="4"/>
  <c r="I3" i="4"/>
  <c r="L3" i="4"/>
  <c r="L8" i="4"/>
  <c r="J4" i="4"/>
  <c r="K4" i="4"/>
  <c r="I4" i="4"/>
  <c r="L4" i="4"/>
  <c r="J5" i="4"/>
  <c r="K5" i="4"/>
  <c r="I5" i="4"/>
  <c r="L5" i="4"/>
  <c r="J6" i="4"/>
  <c r="K6" i="4"/>
  <c r="I6" i="4"/>
  <c r="L6" i="4"/>
  <c r="L9" i="4"/>
</calcChain>
</file>

<file path=xl/sharedStrings.xml><?xml version="1.0" encoding="utf-8"?>
<sst xmlns="http://schemas.openxmlformats.org/spreadsheetml/2006/main" count="25" uniqueCount="19">
  <si>
    <t>TOTAL N</t>
  </si>
  <si>
    <t>EFFECT SIZE</t>
  </si>
  <si>
    <t>POOL SD</t>
  </si>
  <si>
    <t>Control Group</t>
  </si>
  <si>
    <t>Experimental group</t>
  </si>
  <si>
    <t>SD</t>
  </si>
  <si>
    <t>N</t>
  </si>
  <si>
    <t>M</t>
  </si>
  <si>
    <t>Details about the groups compared (e.g., Task used, Experiment number, Condition)</t>
  </si>
  <si>
    <t>Paper Number</t>
  </si>
  <si>
    <t>Study Number</t>
  </si>
  <si>
    <t>Paper 1</t>
  </si>
  <si>
    <t>Experiment 1</t>
  </si>
  <si>
    <t>Experiment 2</t>
  </si>
  <si>
    <t>Paper 2</t>
  </si>
  <si>
    <t>Experiment 3</t>
  </si>
  <si>
    <t>weight</t>
  </si>
  <si>
    <t>Sum:</t>
  </si>
  <si>
    <t>WeightES: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</si>
</sst>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left" vertical="top" wrapText="1"/>
    </xf>
    <xf numFmtId="2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78CB-575E-4974-AC53-91B6166891C7}">
  <dimension ref="A1:M9"/>
  <sheetViews>
    <sheetView tabSelected="1" workbookViewId="0">
      <selection activeCell="C3" sqref="C3:H6"/>
    </sheetView>
  </sheetViews>
  <sheetFormatPr baseColWidth="10" defaultColWidth="8.83203125" defaultRowHeight="16" x14ac:dyDescent="0.2"/>
  <cols>
    <col min="1" max="1" width="13.1640625" bestFit="1" customWidth="1"/>
    <col min="2" max="2" width="13" bestFit="1" customWidth="1"/>
    <col min="9" max="10" width="8.1640625" bestFit="1" customWidth="1"/>
    <col min="11" max="11" width="10.6640625" bestFit="1" customWidth="1"/>
    <col min="12" max="12" width="10.6640625" style="2" customWidth="1"/>
    <col min="13" max="13" width="73" bestFit="1" customWidth="1"/>
  </cols>
  <sheetData>
    <row r="1" spans="1:13" x14ac:dyDescent="0.2">
      <c r="C1" s="17" t="s">
        <v>4</v>
      </c>
      <c r="D1" s="17"/>
      <c r="E1" s="17"/>
      <c r="F1" s="17" t="s">
        <v>3</v>
      </c>
      <c r="G1" s="17"/>
      <c r="H1" s="17"/>
      <c r="I1" s="2"/>
      <c r="J1" s="2"/>
      <c r="K1" s="2"/>
    </row>
    <row r="2" spans="1:13" ht="15" customHeight="1" x14ac:dyDescent="0.2">
      <c r="A2" s="11" t="s">
        <v>9</v>
      </c>
      <c r="B2" s="11" t="s">
        <v>10</v>
      </c>
      <c r="C2" s="6" t="s">
        <v>7</v>
      </c>
      <c r="D2" s="6" t="s">
        <v>5</v>
      </c>
      <c r="E2" s="6" t="s">
        <v>6</v>
      </c>
      <c r="F2" s="6" t="s">
        <v>7</v>
      </c>
      <c r="G2" s="6" t="s">
        <v>5</v>
      </c>
      <c r="H2" s="6" t="s">
        <v>6</v>
      </c>
      <c r="I2" s="7" t="s">
        <v>0</v>
      </c>
      <c r="J2" s="7" t="s">
        <v>2</v>
      </c>
      <c r="K2" s="7" t="s">
        <v>1</v>
      </c>
      <c r="L2" s="7" t="s">
        <v>16</v>
      </c>
      <c r="M2" s="12" t="s">
        <v>8</v>
      </c>
    </row>
    <row r="3" spans="1:13" x14ac:dyDescent="0.2">
      <c r="A3" s="9" t="s">
        <v>11</v>
      </c>
      <c r="B3" s="9" t="s">
        <v>12</v>
      </c>
      <c r="C3" s="8"/>
      <c r="D3" s="8"/>
      <c r="E3" s="15"/>
      <c r="F3" s="8"/>
      <c r="G3" s="8"/>
      <c r="H3" s="8"/>
      <c r="I3" s="8">
        <f>E3+H3</f>
        <v>0</v>
      </c>
      <c r="J3" s="13">
        <f t="shared" ref="J3:J6" si="0">SQRT(((E3-1)*D3*D3+(H3-1)*G3*G3)/(E3+H3-2))</f>
        <v>0</v>
      </c>
      <c r="K3" s="13" t="e">
        <f>(C3-F3)/J3</f>
        <v>#DIV/0!</v>
      </c>
      <c r="L3" s="13" t="e">
        <f>K3*I3</f>
        <v>#DIV/0!</v>
      </c>
      <c r="M3" s="10"/>
    </row>
    <row r="4" spans="1:13" x14ac:dyDescent="0.2">
      <c r="A4" s="9" t="s">
        <v>11</v>
      </c>
      <c r="B4" s="9" t="s">
        <v>13</v>
      </c>
      <c r="C4" s="4"/>
      <c r="D4" s="4"/>
      <c r="E4" s="4"/>
      <c r="F4" s="2"/>
      <c r="G4" s="4"/>
      <c r="H4" s="4"/>
      <c r="I4" s="8">
        <f>E4+H4</f>
        <v>0</v>
      </c>
      <c r="J4" s="14">
        <f>SQRT(((E4-1)*D4*D4+(H4-1)*G4*G4)/(E4+H4-2))</f>
        <v>0</v>
      </c>
      <c r="K4" s="13" t="e">
        <f>(C4-F4)/J4</f>
        <v>#DIV/0!</v>
      </c>
      <c r="L4" s="13" t="e">
        <f t="shared" ref="L4:L6" si="1">K4*I4</f>
        <v>#DIV/0!</v>
      </c>
      <c r="M4" s="5"/>
    </row>
    <row r="5" spans="1:13" x14ac:dyDescent="0.2">
      <c r="A5" s="3" t="s">
        <v>14</v>
      </c>
      <c r="B5" s="3" t="s">
        <v>12</v>
      </c>
      <c r="C5" s="2"/>
      <c r="D5" s="2"/>
      <c r="E5" s="2"/>
      <c r="F5" s="2"/>
      <c r="G5" s="2"/>
      <c r="H5" s="2"/>
      <c r="I5" s="2">
        <f>E5+H5</f>
        <v>0</v>
      </c>
      <c r="J5" s="14">
        <f>SQRT(((E5-1)*D5*D5+(H5-1)*G5*G5)/(E5+H5-2))</f>
        <v>0</v>
      </c>
      <c r="K5" s="13" t="e">
        <f t="shared" ref="K5:K6" si="2">(C5-F5)/J5</f>
        <v>#DIV/0!</v>
      </c>
      <c r="L5" s="13" t="e">
        <f t="shared" si="1"/>
        <v>#DIV/0!</v>
      </c>
      <c r="M5" s="5"/>
    </row>
    <row r="6" spans="1:13" x14ac:dyDescent="0.2">
      <c r="A6" s="3" t="s">
        <v>14</v>
      </c>
      <c r="B6" s="3" t="s">
        <v>15</v>
      </c>
      <c r="C6" s="2"/>
      <c r="D6" s="2"/>
      <c r="E6" s="2"/>
      <c r="F6" s="2"/>
      <c r="G6" s="2"/>
      <c r="H6" s="2"/>
      <c r="I6" s="2">
        <f t="shared" ref="I6" si="3">E6+H6</f>
        <v>0</v>
      </c>
      <c r="J6" s="14">
        <f t="shared" si="0"/>
        <v>0</v>
      </c>
      <c r="K6" s="13" t="e">
        <f t="shared" si="2"/>
        <v>#DIV/0!</v>
      </c>
      <c r="L6" s="13" t="e">
        <f t="shared" si="1"/>
        <v>#DIV/0!</v>
      </c>
      <c r="M6" s="1"/>
    </row>
    <row r="7" spans="1:13" x14ac:dyDescent="0.2">
      <c r="C7" s="2"/>
      <c r="D7" s="2"/>
      <c r="E7" s="2"/>
      <c r="F7" s="2"/>
      <c r="G7" s="2"/>
      <c r="H7" s="2"/>
      <c r="I7" s="2"/>
      <c r="J7" s="14"/>
      <c r="K7" s="14"/>
      <c r="L7" s="14"/>
      <c r="M7" s="1"/>
    </row>
    <row r="8" spans="1:13" x14ac:dyDescent="0.2">
      <c r="K8" s="16" t="s">
        <v>17</v>
      </c>
      <c r="L8" s="14" t="e">
        <f>SUM(L3:L6)</f>
        <v>#DIV/0!</v>
      </c>
    </row>
    <row r="9" spans="1:13" x14ac:dyDescent="0.2">
      <c r="K9" t="s">
        <v>18</v>
      </c>
      <c r="L9" s="14" t="e">
        <f>L8/SUM(I3:I6)</f>
        <v>#DIV/0!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EffectSize_M_SD_Between_Subject</vt:lpstr>
    </vt:vector>
  </TitlesOfParts>
  <Company>cmu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 Na Sio</dc:creator>
  <cp:lastModifiedBy>Matthew Inglis</cp:lastModifiedBy>
  <dcterms:created xsi:type="dcterms:W3CDTF">2016-06-12T13:33:40Z</dcterms:created>
  <dcterms:modified xsi:type="dcterms:W3CDTF">2026-07-24T11:37:16Z</dcterms:modified>
</cp:coreProperties>
</file>